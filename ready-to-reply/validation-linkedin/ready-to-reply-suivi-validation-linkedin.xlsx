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Publications" sheetId="2" state="visible" r:id="rId2"/>
    <sheet name="Inscriptions" sheetId="3" state="visible" r:id="rId3"/>
    <sheet name="Échanges" sheetId="4" state="visible" r:id="rId4"/>
    <sheet name="Synthè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%;-0.0%;-"/>
    <numFmt numFmtId="166" formatCode="0.0"/>
  </numFmts>
  <fonts count="9">
    <font>
      <name val="Calibri"/>
      <family val="2"/>
      <color theme="1"/>
      <sz val="11"/>
      <scheme val="minor"/>
    </font>
    <font>
      <name val="Arial"/>
      <b val="1"/>
      <color rgb="009A3F1E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F5A4E"/>
      <sz val="9"/>
    </font>
    <font>
      <name val="Arial"/>
      <b val="1"/>
      <color rgb="009A3F1E"/>
      <sz val="11"/>
    </font>
    <font>
      <name val="Arial"/>
      <b val="1"/>
      <color rgb="00008000"/>
      <sz val="10"/>
    </font>
    <font>
      <name val="Arial"/>
      <b val="1"/>
      <color rgb="009A3F1E"/>
      <sz val="10"/>
    </font>
  </fonts>
  <fills count="5">
    <fill>
      <patternFill/>
    </fill>
    <fill>
      <patternFill patternType="gray125"/>
    </fill>
    <fill>
      <patternFill patternType="solid">
        <fgColor rgb="002B1E18"/>
      </patternFill>
    </fill>
    <fill>
      <patternFill patternType="solid">
        <fgColor rgb="00FFF6C9"/>
      </patternFill>
    </fill>
    <fill>
      <patternFill patternType="solid">
        <fgColor rgb="00F3DCCD"/>
      </patternFill>
    </fill>
  </fills>
  <borders count="2">
    <border>
      <left/>
      <right/>
      <top/>
      <bottom/>
      <diagonal/>
    </border>
    <border>
      <left style="thin">
        <color rgb="00E2D2C1"/>
      </left>
      <right style="thin">
        <color rgb="00E2D2C1"/>
      </right>
      <top style="thin">
        <color rgb="00E2D2C1"/>
      </top>
      <bottom style="thin">
        <color rgb="00E2D2C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3" fontId="2" fillId="3" borderId="1" applyAlignment="1" pivotButton="0" quotePrefix="0" xfId="0">
      <alignment vertical="top" wrapText="1"/>
    </xf>
    <xf numFmtId="0" fontId="0" fillId="4" borderId="1" pivotButton="0" quotePrefix="0" xfId="0"/>
    <xf numFmtId="0" fontId="3" fillId="4" borderId="1" pivotButton="0" quotePrefix="0" xfId="0"/>
    <xf numFmtId="3" fontId="3" fillId="4" borderId="1" pivotButton="0" quotePrefix="0" xfId="0"/>
    <xf numFmtId="0" fontId="2" fillId="4" borderId="1" pivotButton="0" quotePrefix="0" xfId="0"/>
    <xf numFmtId="0" fontId="3" fillId="0" borderId="0" pivotButton="0" quotePrefix="0" xfId="0"/>
    <xf numFmtId="0" fontId="2" fillId="0" borderId="0" pivotButton="0" quotePrefix="0" xfId="0"/>
    <xf numFmtId="165" fontId="3" fillId="0" borderId="0" pivotButton="0" quotePrefix="0" xfId="0"/>
    <xf numFmtId="0" fontId="5" fillId="0" borderId="0" pivotButton="0" quotePrefix="0" xfId="0"/>
    <xf numFmtId="164" fontId="2" fillId="3" borderId="1" pivotButton="0" quotePrefix="0" xfId="0"/>
    <xf numFmtId="0" fontId="2" fillId="3" borderId="1" pivotButton="0" quotePrefix="0" xfId="0"/>
    <xf numFmtId="164" fontId="2" fillId="3" borderId="1" applyAlignment="1" pivotButton="0" quotePrefix="0" xfId="0">
      <alignment vertical="top" wrapText="1"/>
    </xf>
    <xf numFmtId="0" fontId="1" fillId="0" borderId="0" pivotButton="0" quotePrefix="0" xfId="0"/>
    <xf numFmtId="0" fontId="6" fillId="0" borderId="0" pivotButton="0" quotePrefix="0" xfId="0"/>
    <xf numFmtId="0" fontId="2" fillId="0" borderId="1" pivotButton="0" quotePrefix="0" xfId="0"/>
    <xf numFmtId="3" fontId="7" fillId="0" borderId="1" pivotButton="0" quotePrefix="0" xfId="0"/>
    <xf numFmtId="0" fontId="5" fillId="0" borderId="1" pivotButton="0" quotePrefix="0" xfId="0"/>
    <xf numFmtId="166" fontId="7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Ready To Reply</author>
  </authors>
  <commentList>
    <comment ref="J1" authorId="0" shapeId="0">
      <text>
        <t>Curieux / Concerné / Échange souhaité / Pilote possible — définitions dans l'onglet Mode d'emploi.</t>
      </text>
    </comment>
    <comment ref="K1" authorId="0" shapeId="0">
      <text>
        <t>Oui si l'entreprise répond (ou veut répondre) à des marchés publics et correspond aux publics testés.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Ready To Reply — suivi de la campagne de validation LinkedIn</t>
        </is>
      </c>
    </row>
    <row r="2">
      <c r="A2" s="2" t="inlineStr"/>
    </row>
    <row r="3">
      <c r="A3" s="3" t="inlineStr">
        <is>
          <t>À quoi sert ce fichier</t>
        </is>
      </c>
    </row>
    <row r="4">
      <c r="A4" s="2" t="inlineStr">
        <is>
          <t>Mesurer si le problème traité par Ready To Reply intéresse réellement des entreprises : compréhension, reconnaissance du problème, envie d'échanger, accord pour un pilote.</t>
        </is>
      </c>
    </row>
    <row r="5">
      <c r="A5" s="2" t="inlineStr"/>
    </row>
    <row r="6">
      <c r="A6" s="3" t="inlineStr">
        <is>
          <t>Comment le remplir</t>
        </is>
      </c>
    </row>
    <row r="7">
      <c r="A7" s="2" t="inlineStr">
        <is>
          <t>• Les cellules sur fond jaune sont à remplir. Les autres se calculent seules : ne pas les modifier.</t>
        </is>
      </c>
    </row>
    <row r="8">
      <c r="A8" s="2" t="inlineStr">
        <is>
          <t>• Onglet « Publications » : une ligne par publication, mise à jour chaque vendredi (chiffres LinkedIn : onglet Statistiques de la page).</t>
        </is>
      </c>
    </row>
    <row r="9">
      <c r="A9" s="2" t="inlineStr">
        <is>
          <t>• Onglet « Inscriptions » : une ligne par personne inscrite ou ayant écrit en message privé.</t>
        </is>
      </c>
    </row>
    <row r="10">
      <c r="A10" s="2" t="inlineStr">
        <is>
          <t>• Onglet « Échanges » : une ligne par entretien de 15 minutes réalisé.</t>
        </is>
      </c>
    </row>
    <row r="11">
      <c r="A11" s="2" t="inlineStr">
        <is>
          <t>• Onglet « Synthèse » : se remplit automatiquement à partir des trois autres.</t>
        </is>
      </c>
    </row>
    <row r="12">
      <c r="A12" s="2" t="inlineStr"/>
    </row>
    <row r="13">
      <c r="A13" s="3" t="inlineStr">
        <is>
          <t>Trois niveaux à ne pas confondre</t>
        </is>
      </c>
    </row>
    <row r="14">
      <c r="A14" s="2" t="inlineStr">
        <is>
          <t>1. Visibilité : impressions, visites, « J'aime ». Indique que le message circule, pas qu'il intéresse.</t>
        </is>
      </c>
    </row>
    <row r="15">
      <c r="A15" s="2" t="inlineStr">
        <is>
          <t>2. Inscription : une personne laisse ses coordonnées. Indique une curiosité ou un intérêt déclaré, pas un besoin prouvé.</t>
        </is>
      </c>
    </row>
    <row r="16">
      <c r="A16" s="2" t="inlineStr">
        <is>
          <t>3. Intérêt commercial réel : un échange réalisé où le problème est confirmé, puis un accord pour un pilote avec du temps ou des documents engagés. C'est le seul niveau qui compte pour décider.</t>
        </is>
      </c>
    </row>
    <row r="17">
      <c r="A17" s="3" t="inlineStr">
        <is>
          <t>Une inscription n'est jamais une preuve d'achat, ni une intention d'achat.</t>
        </is>
      </c>
    </row>
    <row r="18">
      <c r="A18" s="2" t="inlineStr"/>
    </row>
    <row r="19">
      <c r="A19" s="3" t="inlineStr">
        <is>
          <t>Niveaux d'intérêt à utiliser dans l'onglet Inscriptions</t>
        </is>
      </c>
    </row>
    <row r="20">
      <c r="A20" s="2" t="inlineStr">
        <is>
          <t>Curieux — veut suivre le projet, ne décrit pas de problème concret.</t>
        </is>
      </c>
    </row>
    <row r="21">
      <c r="A21" s="2" t="inlineStr">
        <is>
          <t>Concerné — répond déjà à des appels d'offres et décrit une difficulté réelle.</t>
        </is>
      </c>
    </row>
    <row r="22">
      <c r="A22" s="2" t="inlineStr">
        <is>
          <t>Échange souhaité — concerné et accepte un appel de 15 minutes.</t>
        </is>
      </c>
    </row>
    <row r="23">
      <c r="A23" s="2" t="inlineStr">
        <is>
          <t>Pilote possible — accepte d'être recontacté pour tester une première version.</t>
        </is>
      </c>
    </row>
    <row r="24">
      <c r="A24" s="2" t="inlineStr"/>
    </row>
    <row r="25">
      <c r="A25" s="3" t="inlineStr">
        <is>
          <t>Exemple de saisie (fictif, ne pas recopier dans les onglets)</t>
        </is>
      </c>
    </row>
    <row r="26">
      <c r="A26" s="2" t="inlineStr">
        <is>
          <t>Inscriptions : 14/10 · Publication 2 · « Exemple Prénom Nom » · Entreprise fictive · Responsable commercial · Électricité / éclairage · 10-49 · « On perd du temps à lire les règlements » · Comprendre les consultations · Échange souhaité · Oui · Oui · Oui · À contacter</t>
        </is>
      </c>
    </row>
    <row r="27">
      <c r="A27" s="2" t="inlineStr"/>
    </row>
    <row r="28">
      <c r="A28" s="3" t="inlineStr">
        <is>
          <t>Données personnelles</t>
        </is>
      </c>
    </row>
    <row r="29">
      <c r="A29" s="2" t="inlineStr">
        <is>
          <t>Ce fichier contient des coordonnées : accès limité aux personnes qui mènent la campagne, pas de copie hors de l'espace partagé prévu, suppression à la fin de la démarche selon la durée annoncée dans le formulaire (à définir).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50" customWidth="1" min="15" max="15"/>
  </cols>
  <sheetData>
    <row r="1" ht="45" customHeight="1">
      <c r="A1" s="4" t="inlineStr">
        <is>
          <t>Date de publication</t>
        </is>
      </c>
      <c r="B1" s="4" t="inlineStr">
        <is>
          <t>Publication</t>
        </is>
      </c>
      <c r="C1" s="4" t="inlineStr">
        <is>
          <t>Audience visée</t>
        </is>
      </c>
      <c r="D1" s="4" t="inlineStr">
        <is>
          <t>Impressions</t>
        </is>
      </c>
      <c r="E1" s="4" t="inlineStr">
        <is>
          <t>Visites (page ou profil)</t>
        </is>
      </c>
      <c r="F1" s="4" t="inlineStr">
        <is>
          <t>Clics vers le formulaire</t>
        </is>
      </c>
      <c r="G1" s="4" t="inlineStr">
        <is>
          <t>Formulaires commencés</t>
        </is>
      </c>
      <c r="H1" s="4" t="inlineStr">
        <is>
          <t>Formulaires envoyés</t>
        </is>
      </c>
      <c r="I1" s="4" t="inlineStr">
        <is>
          <t>Inscriptions reçues</t>
        </is>
      </c>
      <c r="J1" s="4" t="inlineStr">
        <is>
          <t>Inscriptions pertinentes</t>
        </is>
      </c>
      <c r="K1" s="4" t="inlineStr">
        <is>
          <t>Demandes de contact</t>
        </is>
      </c>
      <c r="L1" s="4" t="inlineStr">
        <is>
          <t>Rendez-vous pris</t>
        </is>
      </c>
      <c r="M1" s="4" t="inlineStr">
        <is>
          <t>Rendez-vous réalisés</t>
        </is>
      </c>
      <c r="N1" s="4" t="inlineStr">
        <is>
          <t>Entreprises intéressées par un pilote</t>
        </is>
      </c>
      <c r="O1" s="4" t="inlineStr">
        <is>
          <t>Principaux commentaires ou objections</t>
        </is>
      </c>
    </row>
    <row r="2">
      <c r="A2" s="5" t="n"/>
      <c r="B2" s="6" t="inlineStr">
        <is>
          <t>P1 · Le problème</t>
        </is>
      </c>
      <c r="C2" s="7" t="inlineStr">
        <is>
          <t>Dirigeants et commerciaux de PME électricité / éclairage</t>
        </is>
      </c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7" t="n"/>
    </row>
    <row r="3">
      <c r="A3" s="5" t="n"/>
      <c r="B3" s="6" t="inlineStr">
        <is>
          <t>P2 · Les conséquences</t>
        </is>
      </c>
      <c r="C3" s="7" t="inlineStr">
        <is>
          <t>Mêmes publics + chargés d'appels d'offres</t>
        </is>
      </c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7" t="n"/>
    </row>
    <row r="4">
      <c r="A4" s="5" t="n"/>
      <c r="B4" s="6" t="inlineStr">
        <is>
          <t>P3 · L'idée de Ready To Reply</t>
        </is>
      </c>
      <c r="C4" s="7" t="inlineStr">
        <is>
          <t>Tous publics testés</t>
        </is>
      </c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7" t="n"/>
    </row>
    <row r="5">
      <c r="A5" s="5" t="n"/>
      <c r="B5" s="6" t="inlineStr">
        <is>
          <t>P4 · Invitation à échanger</t>
        </is>
      </c>
      <c r="C5" s="7" t="inlineStr">
        <is>
          <t>Professionnels qui répondent aux marchés publics</t>
        </is>
      </c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7" t="n"/>
    </row>
    <row r="6">
      <c r="A6" s="5" t="n"/>
      <c r="B6" s="6" t="inlineStr">
        <is>
          <t>Hors publications (messages directs, bouche-à-oreille)</t>
        </is>
      </c>
      <c r="C6" s="7" t="inlineStr">
        <is>
          <t>Contacts sollicités directement</t>
        </is>
      </c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7" t="n"/>
    </row>
    <row r="7">
      <c r="A7" s="9" t="n"/>
      <c r="B7" s="10" t="inlineStr">
        <is>
          <t>Synthèse de la campagne</t>
        </is>
      </c>
      <c r="C7" s="9" t="n"/>
      <c r="D7" s="11">
        <f>SUM(D2:D6)</f>
        <v/>
      </c>
      <c r="E7" s="11">
        <f>SUM(E2:E6)</f>
        <v/>
      </c>
      <c r="F7" s="11">
        <f>SUM(F2:F6)</f>
        <v/>
      </c>
      <c r="G7" s="11">
        <f>SUM(G2:G6)</f>
        <v/>
      </c>
      <c r="H7" s="11">
        <f>SUM(H2:H6)</f>
        <v/>
      </c>
      <c r="I7" s="11">
        <f>SUM(I2:I6)</f>
        <v/>
      </c>
      <c r="J7" s="11">
        <f>SUM(J2:J6)</f>
        <v/>
      </c>
      <c r="K7" s="11">
        <f>SUM(K2:K6)</f>
        <v/>
      </c>
      <c r="L7" s="11">
        <f>SUM(L2:L6)</f>
        <v/>
      </c>
      <c r="M7" s="11">
        <f>SUM(M2:M6)</f>
        <v/>
      </c>
      <c r="N7" s="11">
        <f>SUM(N2:N6)</f>
        <v/>
      </c>
      <c r="O7" s="12" t="inlineStr">
        <is>
          <t>Voir onglet Synthèse pour les objections regroupées</t>
        </is>
      </c>
    </row>
    <row r="9">
      <c r="B9" s="13" t="inlineStr">
        <is>
          <t>Taux de passage (calculés)</t>
        </is>
      </c>
    </row>
    <row r="10">
      <c r="B10" s="14" t="inlineStr">
        <is>
          <t>Clics vers le formulaire / impressions</t>
        </is>
      </c>
      <c r="D10" s="15">
        <f>IFERROR(F7/D7,0)</f>
        <v/>
      </c>
    </row>
    <row r="11">
      <c r="B11" s="14" t="inlineStr">
        <is>
          <t>Formulaires envoyés / commencés</t>
        </is>
      </c>
      <c r="D11" s="15">
        <f>IFERROR(H7/G7,0)</f>
        <v/>
      </c>
    </row>
    <row r="12">
      <c r="B12" s="14" t="inlineStr">
        <is>
          <t>Inscriptions pertinentes / inscriptions reçues</t>
        </is>
      </c>
      <c r="D12" s="15">
        <f>IFERROR(J7/I7,0)</f>
        <v/>
      </c>
    </row>
    <row r="13">
      <c r="B13" s="14" t="inlineStr">
        <is>
          <t>Rendez-vous réalisés / inscriptions pertinentes</t>
        </is>
      </c>
      <c r="D13" s="15">
        <f>IFERROR(M7/J7,0)</f>
        <v/>
      </c>
    </row>
    <row r="14">
      <c r="B14" s="14" t="inlineStr">
        <is>
          <t>Entreprises « pilote » / rendez-vous réalisés</t>
        </is>
      </c>
      <c r="D14" s="15">
        <f>IFERROR(N7/M7,0)</f>
        <v/>
      </c>
    </row>
    <row r="16">
      <c r="B16" s="16" t="inlineStr">
        <is>
          <t>Les cellules jaunes sont à remplir chaque vendredi. Les ratios ne sont significatifs qu'avec un volume suffisant : les lire comme des tendances.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1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22" customWidth="1" min="4" max="4"/>
    <col width="20" customWidth="1" min="5" max="5"/>
    <col width="22" customWidth="1" min="6" max="6"/>
    <col width="14" customWidth="1" min="7" max="7"/>
    <col width="40" customWidth="1" min="8" max="8"/>
    <col width="26" customWidth="1" min="9" max="9"/>
    <col width="18" customWidth="1" min="10" max="10"/>
    <col width="12" customWidth="1" min="11" max="11"/>
    <col width="12" customWidth="1" min="12" max="12"/>
    <col width="14" customWidth="1" min="13" max="13"/>
    <col width="16" customWidth="1" min="14" max="14"/>
    <col width="13" customWidth="1" min="15" max="15"/>
    <col width="36" customWidth="1" min="16" max="16"/>
  </cols>
  <sheetData>
    <row r="1" ht="40" customHeight="1">
      <c r="A1" s="4" t="inlineStr">
        <is>
          <t>Date</t>
        </is>
      </c>
      <c r="B1" s="4" t="inlineStr">
        <is>
          <t>Source (publication ou autre)</t>
        </is>
      </c>
      <c r="C1" s="4" t="inlineStr">
        <is>
          <t>Prénom et nom</t>
        </is>
      </c>
      <c r="D1" s="4" t="inlineStr">
        <is>
          <t>Entreprise</t>
        </is>
      </c>
      <c r="E1" s="4" t="inlineStr">
        <is>
          <t>Fonction</t>
        </is>
      </c>
      <c r="F1" s="4" t="inlineStr">
        <is>
          <t>Secteur</t>
        </is>
      </c>
      <c r="G1" s="4" t="inlineStr">
        <is>
          <t>Taille de l'entreprise</t>
        </is>
      </c>
      <c r="H1" s="4" t="inlineStr">
        <is>
          <t>Problème décrit (résumé)</t>
        </is>
      </c>
      <c r="I1" s="4" t="inlineStr">
        <is>
          <t>Intérêt principal</t>
        </is>
      </c>
      <c r="J1" s="4" t="inlineStr">
        <is>
          <t>Niveau d'intérêt</t>
        </is>
      </c>
      <c r="K1" s="4" t="inlineStr">
        <is>
          <t>Pertinent pour la cible ?</t>
        </is>
      </c>
      <c r="L1" s="4" t="inlineStr">
        <is>
          <t>Souhaite un échange</t>
        </is>
      </c>
      <c r="M1" s="4" t="inlineStr">
        <is>
          <t>Accord pour être recontacté</t>
        </is>
      </c>
      <c r="N1" s="4" t="inlineStr">
        <is>
          <t>Statut du suivi</t>
        </is>
      </c>
      <c r="O1" s="4" t="inlineStr">
        <is>
          <t>Date du rendez-vous</t>
        </is>
      </c>
      <c r="P1" s="4" t="inlineStr">
        <is>
          <t>Notes</t>
        </is>
      </c>
    </row>
    <row r="2">
      <c r="A2" s="17" t="n"/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7" t="n"/>
      <c r="P2" s="18" t="n"/>
    </row>
    <row r="3">
      <c r="A3" s="17" t="n"/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7" t="n"/>
      <c r="P3" s="18" t="n"/>
    </row>
    <row r="4">
      <c r="A4" s="17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7" t="n"/>
      <c r="P4" s="18" t="n"/>
    </row>
    <row r="5">
      <c r="A5" s="17" t="n"/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7" t="n"/>
      <c r="P5" s="18" t="n"/>
    </row>
    <row r="6">
      <c r="A6" s="17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7" t="n"/>
      <c r="P6" s="18" t="n"/>
    </row>
    <row r="7">
      <c r="A7" s="17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7" t="n"/>
      <c r="P7" s="18" t="n"/>
    </row>
    <row r="8">
      <c r="A8" s="17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7" t="n"/>
      <c r="P8" s="18" t="n"/>
    </row>
    <row r="9">
      <c r="A9" s="17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7" t="n"/>
      <c r="P9" s="18" t="n"/>
    </row>
    <row r="10">
      <c r="A10" s="17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7" t="n"/>
      <c r="P10" s="18" t="n"/>
    </row>
    <row r="11">
      <c r="A11" s="17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7" t="n"/>
      <c r="P11" s="18" t="n"/>
    </row>
    <row r="12">
      <c r="A12" s="17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7" t="n"/>
      <c r="P12" s="18" t="n"/>
    </row>
    <row r="13">
      <c r="A13" s="17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7" t="n"/>
      <c r="P13" s="18" t="n"/>
    </row>
    <row r="14">
      <c r="A14" s="17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7" t="n"/>
      <c r="P14" s="18" t="n"/>
    </row>
    <row r="15">
      <c r="A15" s="17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7" t="n"/>
      <c r="P15" s="18" t="n"/>
    </row>
    <row r="16">
      <c r="A16" s="17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7" t="n"/>
      <c r="P16" s="18" t="n"/>
    </row>
    <row r="17">
      <c r="A17" s="17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7" t="n"/>
      <c r="P17" s="18" t="n"/>
    </row>
    <row r="18">
      <c r="A18" s="17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7" t="n"/>
      <c r="P18" s="18" t="n"/>
    </row>
    <row r="19">
      <c r="A19" s="17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7" t="n"/>
      <c r="P19" s="18" t="n"/>
    </row>
    <row r="20">
      <c r="A20" s="17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7" t="n"/>
      <c r="P20" s="18" t="n"/>
    </row>
    <row r="21">
      <c r="A21" s="17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7" t="n"/>
      <c r="P21" s="18" t="n"/>
    </row>
    <row r="22">
      <c r="A22" s="17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7" t="n"/>
      <c r="P22" s="18" t="n"/>
    </row>
    <row r="23">
      <c r="A23" s="17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7" t="n"/>
      <c r="P23" s="18" t="n"/>
    </row>
    <row r="24">
      <c r="A24" s="17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7" t="n"/>
      <c r="P24" s="18" t="n"/>
    </row>
    <row r="25">
      <c r="A25" s="17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7" t="n"/>
      <c r="P25" s="18" t="n"/>
    </row>
    <row r="26">
      <c r="A26" s="17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7" t="n"/>
      <c r="P26" s="18" t="n"/>
    </row>
    <row r="27">
      <c r="A27" s="17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7" t="n"/>
      <c r="P27" s="18" t="n"/>
    </row>
    <row r="28">
      <c r="A28" s="17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7" t="n"/>
      <c r="P28" s="18" t="n"/>
    </row>
    <row r="29">
      <c r="A29" s="17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7" t="n"/>
      <c r="P29" s="18" t="n"/>
    </row>
    <row r="30">
      <c r="A30" s="17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7" t="n"/>
      <c r="P30" s="18" t="n"/>
    </row>
    <row r="31">
      <c r="A31" s="17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7" t="n"/>
      <c r="P31" s="18" t="n"/>
    </row>
    <row r="32">
      <c r="A32" s="17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7" t="n"/>
      <c r="P32" s="18" t="n"/>
    </row>
    <row r="33">
      <c r="A33" s="17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7" t="n"/>
      <c r="P33" s="18" t="n"/>
    </row>
    <row r="34">
      <c r="A34" s="17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7" t="n"/>
      <c r="P34" s="18" t="n"/>
    </row>
    <row r="35">
      <c r="A35" s="17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7" t="n"/>
      <c r="P35" s="18" t="n"/>
    </row>
    <row r="36">
      <c r="A36" s="17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7" t="n"/>
      <c r="P36" s="18" t="n"/>
    </row>
    <row r="37">
      <c r="A37" s="17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7" t="n"/>
      <c r="P37" s="18" t="n"/>
    </row>
    <row r="38">
      <c r="A38" s="17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7" t="n"/>
      <c r="P38" s="18" t="n"/>
    </row>
    <row r="39">
      <c r="A39" s="17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7" t="n"/>
      <c r="P39" s="18" t="n"/>
    </row>
    <row r="40">
      <c r="A40" s="17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7" t="n"/>
      <c r="P40" s="18" t="n"/>
    </row>
    <row r="41">
      <c r="A41" s="17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7" t="n"/>
      <c r="P41" s="18" t="n"/>
    </row>
    <row r="42">
      <c r="A42" s="17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7" t="n"/>
      <c r="P42" s="18" t="n"/>
    </row>
    <row r="43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7" t="n"/>
      <c r="P43" s="18" t="n"/>
    </row>
    <row r="44">
      <c r="A44" s="17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7" t="n"/>
      <c r="P44" s="18" t="n"/>
    </row>
    <row r="45">
      <c r="A45" s="17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7" t="n"/>
      <c r="P45" s="18" t="n"/>
    </row>
    <row r="46">
      <c r="A46" s="17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7" t="n"/>
      <c r="P46" s="18" t="n"/>
    </row>
    <row r="47">
      <c r="A47" s="17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7" t="n"/>
      <c r="P47" s="18" t="n"/>
    </row>
    <row r="48">
      <c r="A48" s="17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7" t="n"/>
      <c r="P48" s="18" t="n"/>
    </row>
    <row r="49">
      <c r="A49" s="17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7" t="n"/>
      <c r="P49" s="18" t="n"/>
    </row>
    <row r="50">
      <c r="A50" s="17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7" t="n"/>
      <c r="P50" s="18" t="n"/>
    </row>
    <row r="51">
      <c r="A51" s="17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7" t="n"/>
      <c r="P51" s="18" t="n"/>
    </row>
    <row r="52">
      <c r="A52" s="17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7" t="n"/>
      <c r="P52" s="18" t="n"/>
    </row>
    <row r="53">
      <c r="A53" s="17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7" t="n"/>
      <c r="P53" s="18" t="n"/>
    </row>
    <row r="54">
      <c r="A54" s="17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7" t="n"/>
      <c r="P54" s="18" t="n"/>
    </row>
    <row r="55">
      <c r="A55" s="17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7" t="n"/>
      <c r="P55" s="18" t="n"/>
    </row>
    <row r="56">
      <c r="A56" s="17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7" t="n"/>
      <c r="P56" s="18" t="n"/>
    </row>
    <row r="57">
      <c r="A57" s="17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7" t="n"/>
      <c r="P57" s="18" t="n"/>
    </row>
    <row r="58">
      <c r="A58" s="17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7" t="n"/>
      <c r="P58" s="18" t="n"/>
    </row>
    <row r="59">
      <c r="A59" s="17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7" t="n"/>
      <c r="P59" s="18" t="n"/>
    </row>
    <row r="60">
      <c r="A60" s="17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7" t="n"/>
      <c r="P60" s="18" t="n"/>
    </row>
    <row r="61">
      <c r="A61" s="17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7" t="n"/>
      <c r="P61" s="18" t="n"/>
    </row>
    <row r="62">
      <c r="A62" s="17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7" t="n"/>
      <c r="P62" s="18" t="n"/>
    </row>
    <row r="63">
      <c r="A63" s="17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7" t="n"/>
      <c r="P63" s="18" t="n"/>
    </row>
    <row r="64">
      <c r="A64" s="17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7" t="n"/>
      <c r="P64" s="18" t="n"/>
    </row>
    <row r="65">
      <c r="A65" s="17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7" t="n"/>
      <c r="P65" s="18" t="n"/>
    </row>
    <row r="66">
      <c r="A66" s="17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7" t="n"/>
      <c r="P66" s="18" t="n"/>
    </row>
    <row r="67">
      <c r="A67" s="17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7" t="n"/>
      <c r="P67" s="18" t="n"/>
    </row>
    <row r="68">
      <c r="A68" s="17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7" t="n"/>
      <c r="P68" s="18" t="n"/>
    </row>
    <row r="69">
      <c r="A69" s="17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7" t="n"/>
      <c r="P69" s="18" t="n"/>
    </row>
    <row r="70">
      <c r="A70" s="17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7" t="n"/>
      <c r="P70" s="18" t="n"/>
    </row>
    <row r="71">
      <c r="A71" s="17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7" t="n"/>
      <c r="P71" s="18" t="n"/>
    </row>
    <row r="72">
      <c r="A72" s="17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7" t="n"/>
      <c r="P72" s="18" t="n"/>
    </row>
    <row r="73">
      <c r="A73" s="17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7" t="n"/>
      <c r="P73" s="18" t="n"/>
    </row>
    <row r="74">
      <c r="A74" s="17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7" t="n"/>
      <c r="P74" s="18" t="n"/>
    </row>
    <row r="75">
      <c r="A75" s="17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7" t="n"/>
      <c r="P75" s="18" t="n"/>
    </row>
    <row r="76">
      <c r="A76" s="17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7" t="n"/>
      <c r="P76" s="18" t="n"/>
    </row>
    <row r="77">
      <c r="A77" s="17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7" t="n"/>
      <c r="P77" s="18" t="n"/>
    </row>
    <row r="78">
      <c r="A78" s="17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7" t="n"/>
      <c r="P78" s="18" t="n"/>
    </row>
    <row r="79">
      <c r="A79" s="17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7" t="n"/>
      <c r="P79" s="18" t="n"/>
    </row>
    <row r="80">
      <c r="A80" s="17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7" t="n"/>
      <c r="P80" s="18" t="n"/>
    </row>
    <row r="81">
      <c r="A81" s="17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7" t="n"/>
      <c r="P81" s="18" t="n"/>
    </row>
    <row r="82">
      <c r="A82" s="17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7" t="n"/>
      <c r="P82" s="18" t="n"/>
    </row>
    <row r="83">
      <c r="A83" s="17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7" t="n"/>
      <c r="P83" s="18" t="n"/>
    </row>
    <row r="84">
      <c r="A84" s="17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7" t="n"/>
      <c r="P84" s="18" t="n"/>
    </row>
    <row r="85">
      <c r="A85" s="17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7" t="n"/>
      <c r="P85" s="18" t="n"/>
    </row>
    <row r="86">
      <c r="A86" s="17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7" t="n"/>
      <c r="P86" s="18" t="n"/>
    </row>
    <row r="87">
      <c r="A87" s="17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7" t="n"/>
      <c r="P87" s="18" t="n"/>
    </row>
    <row r="88">
      <c r="A88" s="17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7" t="n"/>
      <c r="P88" s="18" t="n"/>
    </row>
    <row r="89">
      <c r="A89" s="17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7" t="n"/>
      <c r="P89" s="18" t="n"/>
    </row>
    <row r="90">
      <c r="A90" s="17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7" t="n"/>
      <c r="P90" s="18" t="n"/>
    </row>
    <row r="91">
      <c r="A91" s="17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7" t="n"/>
      <c r="P91" s="18" t="n"/>
    </row>
    <row r="92">
      <c r="A92" s="17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7" t="n"/>
      <c r="P92" s="18" t="n"/>
    </row>
    <row r="93">
      <c r="A93" s="17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7" t="n"/>
      <c r="P93" s="18" t="n"/>
    </row>
    <row r="94">
      <c r="A94" s="17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7" t="n"/>
      <c r="P94" s="18" t="n"/>
    </row>
    <row r="95">
      <c r="A95" s="17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7" t="n"/>
      <c r="P95" s="18" t="n"/>
    </row>
    <row r="96">
      <c r="A96" s="17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7" t="n"/>
      <c r="P96" s="18" t="n"/>
    </row>
    <row r="97">
      <c r="A97" s="17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7" t="n"/>
      <c r="P97" s="18" t="n"/>
    </row>
    <row r="98">
      <c r="A98" s="17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7" t="n"/>
      <c r="P98" s="18" t="n"/>
    </row>
    <row r="99">
      <c r="A99" s="17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7" t="n"/>
      <c r="P99" s="18" t="n"/>
    </row>
    <row r="100">
      <c r="A100" s="17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7" t="n"/>
      <c r="P100" s="18" t="n"/>
    </row>
    <row r="101">
      <c r="A101" s="17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7" t="n"/>
      <c r="P101" s="18" t="n"/>
    </row>
    <row r="102">
      <c r="A102" s="17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7" t="n"/>
      <c r="P102" s="18" t="n"/>
    </row>
    <row r="103">
      <c r="A103" s="17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7" t="n"/>
      <c r="P103" s="18" t="n"/>
    </row>
    <row r="104">
      <c r="A104" s="17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7" t="n"/>
      <c r="P104" s="18" t="n"/>
    </row>
    <row r="105">
      <c r="A105" s="17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7" t="n"/>
      <c r="P105" s="18" t="n"/>
    </row>
    <row r="106">
      <c r="A106" s="17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7" t="n"/>
      <c r="P106" s="18" t="n"/>
    </row>
    <row r="107">
      <c r="A107" s="17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7" t="n"/>
      <c r="P107" s="18" t="n"/>
    </row>
    <row r="108">
      <c r="A108" s="17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7" t="n"/>
      <c r="P108" s="18" t="n"/>
    </row>
    <row r="109">
      <c r="A109" s="17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7" t="n"/>
      <c r="P109" s="18" t="n"/>
    </row>
    <row r="110">
      <c r="A110" s="17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7" t="n"/>
      <c r="P110" s="18" t="n"/>
    </row>
    <row r="111">
      <c r="A111" s="17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7" t="n"/>
      <c r="P111" s="18" t="n"/>
    </row>
    <row r="112">
      <c r="A112" s="17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7" t="n"/>
      <c r="P112" s="18" t="n"/>
    </row>
    <row r="113">
      <c r="A113" s="17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7" t="n"/>
      <c r="P113" s="18" t="n"/>
    </row>
    <row r="114">
      <c r="A114" s="17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7" t="n"/>
      <c r="P114" s="18" t="n"/>
    </row>
    <row r="115">
      <c r="A115" s="17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7" t="n"/>
      <c r="P115" s="18" t="n"/>
    </row>
    <row r="116">
      <c r="A116" s="17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7" t="n"/>
      <c r="P116" s="18" t="n"/>
    </row>
    <row r="117">
      <c r="A117" s="17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7" t="n"/>
      <c r="P117" s="18" t="n"/>
    </row>
    <row r="118">
      <c r="A118" s="17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7" t="n"/>
      <c r="P118" s="18" t="n"/>
    </row>
    <row r="119">
      <c r="A119" s="17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7" t="n"/>
      <c r="P119" s="18" t="n"/>
    </row>
    <row r="120">
      <c r="A120" s="17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7" t="n"/>
      <c r="P120" s="18" t="n"/>
    </row>
    <row r="121">
      <c r="A121" s="17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7" t="n"/>
      <c r="P121" s="18" t="n"/>
    </row>
    <row r="122">
      <c r="A122" s="17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7" t="n"/>
      <c r="P122" s="18" t="n"/>
    </row>
    <row r="123">
      <c r="A123" s="17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7" t="n"/>
      <c r="P123" s="18" t="n"/>
    </row>
    <row r="124">
      <c r="A124" s="17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7" t="n"/>
      <c r="P124" s="18" t="n"/>
    </row>
    <row r="125">
      <c r="A125" s="17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7" t="n"/>
      <c r="P125" s="18" t="n"/>
    </row>
    <row r="126">
      <c r="A126" s="17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7" t="n"/>
      <c r="P126" s="18" t="n"/>
    </row>
    <row r="127">
      <c r="A127" s="17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7" t="n"/>
      <c r="P127" s="18" t="n"/>
    </row>
    <row r="128">
      <c r="A128" s="17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7" t="n"/>
      <c r="P128" s="18" t="n"/>
    </row>
    <row r="129">
      <c r="A129" s="17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7" t="n"/>
      <c r="P129" s="18" t="n"/>
    </row>
    <row r="130">
      <c r="A130" s="17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7" t="n"/>
      <c r="P130" s="18" t="n"/>
    </row>
    <row r="131">
      <c r="A131" s="17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7" t="n"/>
      <c r="P131" s="18" t="n"/>
    </row>
    <row r="132">
      <c r="A132" s="17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7" t="n"/>
      <c r="P132" s="18" t="n"/>
    </row>
    <row r="133">
      <c r="A133" s="17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7" t="n"/>
      <c r="P133" s="18" t="n"/>
    </row>
    <row r="134">
      <c r="A134" s="17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7" t="n"/>
      <c r="P134" s="18" t="n"/>
    </row>
    <row r="135">
      <c r="A135" s="17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7" t="n"/>
      <c r="P135" s="18" t="n"/>
    </row>
    <row r="136">
      <c r="A136" s="17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7" t="n"/>
      <c r="P136" s="18" t="n"/>
    </row>
    <row r="137">
      <c r="A137" s="17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7" t="n"/>
      <c r="P137" s="18" t="n"/>
    </row>
    <row r="138">
      <c r="A138" s="17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7" t="n"/>
      <c r="P138" s="18" t="n"/>
    </row>
    <row r="139">
      <c r="A139" s="17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7" t="n"/>
      <c r="P139" s="18" t="n"/>
    </row>
    <row r="140">
      <c r="A140" s="17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7" t="n"/>
      <c r="P140" s="18" t="n"/>
    </row>
    <row r="141">
      <c r="A141" s="17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7" t="n"/>
      <c r="P141" s="18" t="n"/>
    </row>
    <row r="142">
      <c r="A142" s="17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7" t="n"/>
      <c r="P142" s="18" t="n"/>
    </row>
    <row r="143">
      <c r="A143" s="17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7" t="n"/>
      <c r="P143" s="18" t="n"/>
    </row>
    <row r="144">
      <c r="A144" s="17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7" t="n"/>
      <c r="P144" s="18" t="n"/>
    </row>
    <row r="145">
      <c r="A145" s="17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7" t="n"/>
      <c r="P145" s="18" t="n"/>
    </row>
    <row r="146">
      <c r="A146" s="17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7" t="n"/>
      <c r="P146" s="18" t="n"/>
    </row>
    <row r="147">
      <c r="A147" s="17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7" t="n"/>
      <c r="P147" s="18" t="n"/>
    </row>
    <row r="148">
      <c r="A148" s="17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7" t="n"/>
      <c r="P148" s="18" t="n"/>
    </row>
    <row r="149">
      <c r="A149" s="17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7" t="n"/>
      <c r="P149" s="18" t="n"/>
    </row>
    <row r="150">
      <c r="A150" s="17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7" t="n"/>
      <c r="P150" s="18" t="n"/>
    </row>
    <row r="151">
      <c r="A151" s="17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7" t="n"/>
      <c r="P151" s="18" t="n"/>
    </row>
    <row r="152">
      <c r="A152" s="17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7" t="n"/>
      <c r="P152" s="18" t="n"/>
    </row>
    <row r="153">
      <c r="A153" s="17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7" t="n"/>
      <c r="P153" s="18" t="n"/>
    </row>
    <row r="154">
      <c r="A154" s="17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7" t="n"/>
      <c r="P154" s="18" t="n"/>
    </row>
    <row r="155">
      <c r="A155" s="17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7" t="n"/>
      <c r="P155" s="18" t="n"/>
    </row>
    <row r="156">
      <c r="A156" s="17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7" t="n"/>
      <c r="P156" s="18" t="n"/>
    </row>
    <row r="157">
      <c r="A157" s="17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7" t="n"/>
      <c r="P157" s="18" t="n"/>
    </row>
    <row r="158">
      <c r="A158" s="17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7" t="n"/>
      <c r="P158" s="18" t="n"/>
    </row>
    <row r="159">
      <c r="A159" s="17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7" t="n"/>
      <c r="P159" s="18" t="n"/>
    </row>
    <row r="160">
      <c r="A160" s="17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7" t="n"/>
      <c r="P160" s="18" t="n"/>
    </row>
    <row r="161">
      <c r="A161" s="17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7" t="n"/>
      <c r="P161" s="18" t="n"/>
    </row>
    <row r="162">
      <c r="A162" s="17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7" t="n"/>
      <c r="P162" s="18" t="n"/>
    </row>
    <row r="163">
      <c r="A163" s="17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7" t="n"/>
      <c r="P163" s="18" t="n"/>
    </row>
    <row r="164">
      <c r="A164" s="17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7" t="n"/>
      <c r="P164" s="18" t="n"/>
    </row>
    <row r="165">
      <c r="A165" s="17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7" t="n"/>
      <c r="P165" s="18" t="n"/>
    </row>
    <row r="166">
      <c r="A166" s="17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7" t="n"/>
      <c r="P166" s="18" t="n"/>
    </row>
    <row r="167">
      <c r="A167" s="17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7" t="n"/>
      <c r="P167" s="18" t="n"/>
    </row>
    <row r="168">
      <c r="A168" s="17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7" t="n"/>
      <c r="P168" s="18" t="n"/>
    </row>
    <row r="169">
      <c r="A169" s="17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7" t="n"/>
      <c r="P169" s="18" t="n"/>
    </row>
    <row r="170">
      <c r="A170" s="17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7" t="n"/>
      <c r="P170" s="18" t="n"/>
    </row>
    <row r="171">
      <c r="A171" s="17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7" t="n"/>
      <c r="P171" s="18" t="n"/>
    </row>
    <row r="172">
      <c r="A172" s="17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7" t="n"/>
      <c r="P172" s="18" t="n"/>
    </row>
    <row r="173">
      <c r="A173" s="17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7" t="n"/>
      <c r="P173" s="18" t="n"/>
    </row>
    <row r="174">
      <c r="A174" s="17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7" t="n"/>
      <c r="P174" s="18" t="n"/>
    </row>
    <row r="175">
      <c r="A175" s="17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7" t="n"/>
      <c r="P175" s="18" t="n"/>
    </row>
    <row r="176">
      <c r="A176" s="17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7" t="n"/>
      <c r="P176" s="18" t="n"/>
    </row>
    <row r="177">
      <c r="A177" s="17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7" t="n"/>
      <c r="P177" s="18" t="n"/>
    </row>
    <row r="178">
      <c r="A178" s="17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7" t="n"/>
      <c r="P178" s="18" t="n"/>
    </row>
    <row r="179">
      <c r="A179" s="17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7" t="n"/>
      <c r="P179" s="18" t="n"/>
    </row>
    <row r="180">
      <c r="A180" s="17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7" t="n"/>
      <c r="P180" s="18" t="n"/>
    </row>
    <row r="181">
      <c r="A181" s="17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7" t="n"/>
      <c r="P181" s="18" t="n"/>
    </row>
    <row r="182">
      <c r="A182" s="17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7" t="n"/>
      <c r="P182" s="18" t="n"/>
    </row>
    <row r="183">
      <c r="A183" s="17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7" t="n"/>
      <c r="P183" s="18" t="n"/>
    </row>
    <row r="184">
      <c r="A184" s="17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7" t="n"/>
      <c r="P184" s="18" t="n"/>
    </row>
    <row r="185">
      <c r="A185" s="17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7" t="n"/>
      <c r="P185" s="18" t="n"/>
    </row>
    <row r="186">
      <c r="A186" s="17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7" t="n"/>
      <c r="P186" s="18" t="n"/>
    </row>
    <row r="187">
      <c r="A187" s="17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7" t="n"/>
      <c r="P187" s="18" t="n"/>
    </row>
    <row r="188">
      <c r="A188" s="17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7" t="n"/>
      <c r="P188" s="18" t="n"/>
    </row>
    <row r="189">
      <c r="A189" s="17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7" t="n"/>
      <c r="P189" s="18" t="n"/>
    </row>
    <row r="190">
      <c r="A190" s="17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7" t="n"/>
      <c r="P190" s="18" t="n"/>
    </row>
    <row r="191">
      <c r="A191" s="17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7" t="n"/>
      <c r="P191" s="18" t="n"/>
    </row>
    <row r="192">
      <c r="A192" s="17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7" t="n"/>
      <c r="P192" s="18" t="n"/>
    </row>
    <row r="193">
      <c r="A193" s="17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7" t="n"/>
      <c r="P193" s="18" t="n"/>
    </row>
    <row r="194">
      <c r="A194" s="17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7" t="n"/>
      <c r="P194" s="18" t="n"/>
    </row>
    <row r="195">
      <c r="A195" s="17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7" t="n"/>
      <c r="P195" s="18" t="n"/>
    </row>
    <row r="196">
      <c r="A196" s="17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7" t="n"/>
      <c r="P196" s="18" t="n"/>
    </row>
    <row r="197">
      <c r="A197" s="17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7" t="n"/>
      <c r="P197" s="18" t="n"/>
    </row>
    <row r="198">
      <c r="A198" s="17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7" t="n"/>
      <c r="P198" s="18" t="n"/>
    </row>
    <row r="199">
      <c r="A199" s="17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7" t="n"/>
      <c r="P199" s="18" t="n"/>
    </row>
    <row r="200">
      <c r="A200" s="17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7" t="n"/>
      <c r="P200" s="18" t="n"/>
    </row>
    <row r="201">
      <c r="A201" s="17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7" t="n"/>
      <c r="P201" s="18" t="n"/>
    </row>
    <row r="202">
      <c r="A202" s="17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7" t="n"/>
      <c r="P202" s="18" t="n"/>
    </row>
    <row r="203">
      <c r="A203" s="17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7" t="n"/>
      <c r="P203" s="18" t="n"/>
    </row>
    <row r="204">
      <c r="A204" s="17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7" t="n"/>
      <c r="P204" s="18" t="n"/>
    </row>
    <row r="205">
      <c r="A205" s="17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7" t="n"/>
      <c r="P205" s="18" t="n"/>
    </row>
    <row r="206">
      <c r="A206" s="17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7" t="n"/>
      <c r="P206" s="18" t="n"/>
    </row>
    <row r="207">
      <c r="A207" s="17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7" t="n"/>
      <c r="P207" s="18" t="n"/>
    </row>
    <row r="208">
      <c r="A208" s="17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7" t="n"/>
      <c r="P208" s="18" t="n"/>
    </row>
    <row r="209">
      <c r="A209" s="17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7" t="n"/>
      <c r="P209" s="18" t="n"/>
    </row>
    <row r="210">
      <c r="A210" s="17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7" t="n"/>
      <c r="P210" s="18" t="n"/>
    </row>
    <row r="211">
      <c r="A211" s="17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7" t="n"/>
      <c r="P211" s="18" t="n"/>
    </row>
    <row r="212">
      <c r="A212" s="17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7" t="n"/>
      <c r="P212" s="18" t="n"/>
    </row>
    <row r="213">
      <c r="A213" s="17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7" t="n"/>
      <c r="P213" s="18" t="n"/>
    </row>
    <row r="214">
      <c r="A214" s="17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7" t="n"/>
      <c r="P214" s="18" t="n"/>
    </row>
    <row r="215">
      <c r="A215" s="17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7" t="n"/>
      <c r="P215" s="18" t="n"/>
    </row>
    <row r="216">
      <c r="A216" s="17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7" t="n"/>
      <c r="P216" s="18" t="n"/>
    </row>
    <row r="217">
      <c r="A217" s="17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7" t="n"/>
      <c r="P217" s="18" t="n"/>
    </row>
    <row r="218">
      <c r="A218" s="17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7" t="n"/>
      <c r="P218" s="18" t="n"/>
    </row>
    <row r="219">
      <c r="A219" s="17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7" t="n"/>
      <c r="P219" s="18" t="n"/>
    </row>
    <row r="220">
      <c r="A220" s="17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7" t="n"/>
      <c r="P220" s="18" t="n"/>
    </row>
    <row r="221">
      <c r="A221" s="17" t="n"/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7" t="n"/>
      <c r="P221" s="18" t="n"/>
    </row>
    <row r="222">
      <c r="A222" s="17" t="n"/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7" t="n"/>
      <c r="P222" s="18" t="n"/>
    </row>
    <row r="223">
      <c r="A223" s="17" t="n"/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7" t="n"/>
      <c r="P223" s="18" t="n"/>
    </row>
    <row r="224">
      <c r="A224" s="17" t="n"/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7" t="n"/>
      <c r="P224" s="18" t="n"/>
    </row>
    <row r="225">
      <c r="A225" s="17" t="n"/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7" t="n"/>
      <c r="P225" s="18" t="n"/>
    </row>
    <row r="226">
      <c r="A226" s="17" t="n"/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7" t="n"/>
      <c r="P226" s="18" t="n"/>
    </row>
    <row r="227">
      <c r="A227" s="17" t="n"/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7" t="n"/>
      <c r="P227" s="18" t="n"/>
    </row>
    <row r="228">
      <c r="A228" s="17" t="n"/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7" t="n"/>
      <c r="P228" s="18" t="n"/>
    </row>
    <row r="229">
      <c r="A229" s="17" t="n"/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7" t="n"/>
      <c r="P229" s="18" t="n"/>
    </row>
    <row r="230">
      <c r="A230" s="17" t="n"/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7" t="n"/>
      <c r="P230" s="18" t="n"/>
    </row>
    <row r="231">
      <c r="A231" s="17" t="n"/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7" t="n"/>
      <c r="P231" s="18" t="n"/>
    </row>
    <row r="232">
      <c r="A232" s="17" t="n"/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7" t="n"/>
      <c r="P232" s="18" t="n"/>
    </row>
    <row r="233">
      <c r="A233" s="17" t="n"/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7" t="n"/>
      <c r="P233" s="18" t="n"/>
    </row>
    <row r="234">
      <c r="A234" s="17" t="n"/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7" t="n"/>
      <c r="P234" s="18" t="n"/>
    </row>
    <row r="235">
      <c r="A235" s="17" t="n"/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7" t="n"/>
      <c r="P235" s="18" t="n"/>
    </row>
    <row r="236">
      <c r="A236" s="17" t="n"/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7" t="n"/>
      <c r="P236" s="18" t="n"/>
    </row>
    <row r="237">
      <c r="A237" s="17" t="n"/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7" t="n"/>
      <c r="P237" s="18" t="n"/>
    </row>
    <row r="238">
      <c r="A238" s="17" t="n"/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7" t="n"/>
      <c r="P238" s="18" t="n"/>
    </row>
    <row r="239">
      <c r="A239" s="17" t="n"/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7" t="n"/>
      <c r="P239" s="18" t="n"/>
    </row>
    <row r="240">
      <c r="A240" s="17" t="n"/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7" t="n"/>
      <c r="P240" s="18" t="n"/>
    </row>
    <row r="241">
      <c r="A241" s="17" t="n"/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7" t="n"/>
      <c r="P241" s="18" t="n"/>
    </row>
    <row r="242">
      <c r="A242" s="17" t="n"/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7" t="n"/>
      <c r="P242" s="18" t="n"/>
    </row>
    <row r="243">
      <c r="A243" s="17" t="n"/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7" t="n"/>
      <c r="P243" s="18" t="n"/>
    </row>
    <row r="244">
      <c r="A244" s="17" t="n"/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7" t="n"/>
      <c r="P244" s="18" t="n"/>
    </row>
    <row r="245">
      <c r="A245" s="17" t="n"/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7" t="n"/>
      <c r="P245" s="18" t="n"/>
    </row>
    <row r="246">
      <c r="A246" s="17" t="n"/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7" t="n"/>
      <c r="P246" s="18" t="n"/>
    </row>
    <row r="247">
      <c r="A247" s="17" t="n"/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7" t="n"/>
      <c r="P247" s="18" t="n"/>
    </row>
    <row r="248">
      <c r="A248" s="17" t="n"/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7" t="n"/>
      <c r="P248" s="18" t="n"/>
    </row>
    <row r="249">
      <c r="A249" s="17" t="n"/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7" t="n"/>
      <c r="P249" s="18" t="n"/>
    </row>
    <row r="250">
      <c r="A250" s="17" t="n"/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7" t="n"/>
      <c r="P250" s="18" t="n"/>
    </row>
    <row r="251">
      <c r="A251" s="17" t="n"/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7" t="n"/>
      <c r="P251" s="18" t="n"/>
    </row>
    <row r="252">
      <c r="A252" s="17" t="n"/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7" t="n"/>
      <c r="P252" s="18" t="n"/>
    </row>
    <row r="253">
      <c r="A253" s="17" t="n"/>
      <c r="B253" s="18" t="n"/>
      <c r="C253" s="18" t="n"/>
      <c r="D253" s="18" t="n"/>
      <c r="E253" s="18" t="n"/>
      <c r="F253" s="18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7" t="n"/>
      <c r="P253" s="18" t="n"/>
    </row>
    <row r="254">
      <c r="A254" s="17" t="n"/>
      <c r="B254" s="18" t="n"/>
      <c r="C254" s="18" t="n"/>
      <c r="D254" s="18" t="n"/>
      <c r="E254" s="18" t="n"/>
      <c r="F254" s="18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7" t="n"/>
      <c r="P254" s="18" t="n"/>
    </row>
    <row r="255">
      <c r="A255" s="17" t="n"/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7" t="n"/>
      <c r="P255" s="18" t="n"/>
    </row>
    <row r="256">
      <c r="A256" s="17" t="n"/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7" t="n"/>
      <c r="P256" s="18" t="n"/>
    </row>
    <row r="257">
      <c r="A257" s="17" t="n"/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7" t="n"/>
      <c r="P257" s="18" t="n"/>
    </row>
    <row r="258">
      <c r="A258" s="17" t="n"/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7" t="n"/>
      <c r="P258" s="18" t="n"/>
    </row>
    <row r="259">
      <c r="A259" s="17" t="n"/>
      <c r="B259" s="18" t="n"/>
      <c r="C259" s="18" t="n"/>
      <c r="D259" s="18" t="n"/>
      <c r="E259" s="18" t="n"/>
      <c r="F259" s="18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7" t="n"/>
      <c r="P259" s="18" t="n"/>
    </row>
    <row r="260">
      <c r="A260" s="17" t="n"/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7" t="n"/>
      <c r="P260" s="18" t="n"/>
    </row>
    <row r="261">
      <c r="A261" s="17" t="n"/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7" t="n"/>
      <c r="P261" s="18" t="n"/>
    </row>
    <row r="262">
      <c r="A262" s="17" t="n"/>
      <c r="B262" s="18" t="n"/>
      <c r="C262" s="18" t="n"/>
      <c r="D262" s="18" t="n"/>
      <c r="E262" s="18" t="n"/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7" t="n"/>
      <c r="P262" s="18" t="n"/>
    </row>
    <row r="263">
      <c r="A263" s="17" t="n"/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7" t="n"/>
      <c r="P263" s="18" t="n"/>
    </row>
    <row r="264">
      <c r="A264" s="17" t="n"/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7" t="n"/>
      <c r="P264" s="18" t="n"/>
    </row>
    <row r="265">
      <c r="A265" s="17" t="n"/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8" t="n"/>
      <c r="L265" s="18" t="n"/>
      <c r="M265" s="18" t="n"/>
      <c r="N265" s="18" t="n"/>
      <c r="O265" s="17" t="n"/>
      <c r="P265" s="18" t="n"/>
    </row>
    <row r="266">
      <c r="A266" s="17" t="n"/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7" t="n"/>
      <c r="P266" s="18" t="n"/>
    </row>
    <row r="267">
      <c r="A267" s="17" t="n"/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7" t="n"/>
      <c r="P267" s="18" t="n"/>
    </row>
    <row r="268">
      <c r="A268" s="17" t="n"/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7" t="n"/>
      <c r="P268" s="18" t="n"/>
    </row>
    <row r="269">
      <c r="A269" s="17" t="n"/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O269" s="17" t="n"/>
      <c r="P269" s="18" t="n"/>
    </row>
    <row r="270">
      <c r="A270" s="17" t="n"/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7" t="n"/>
      <c r="P270" s="18" t="n"/>
    </row>
    <row r="271">
      <c r="A271" s="17" t="n"/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7" t="n"/>
      <c r="P271" s="18" t="n"/>
    </row>
    <row r="272">
      <c r="A272" s="17" t="n"/>
      <c r="B272" s="18" t="n"/>
      <c r="C272" s="18" t="n"/>
      <c r="D272" s="18" t="n"/>
      <c r="E272" s="18" t="n"/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7" t="n"/>
      <c r="P272" s="18" t="n"/>
    </row>
    <row r="273">
      <c r="A273" s="17" t="n"/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7" t="n"/>
      <c r="P273" s="18" t="n"/>
    </row>
    <row r="274">
      <c r="A274" s="17" t="n"/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7" t="n"/>
      <c r="P274" s="18" t="n"/>
    </row>
    <row r="275">
      <c r="A275" s="17" t="n"/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7" t="n"/>
      <c r="P275" s="18" t="n"/>
    </row>
    <row r="276">
      <c r="A276" s="17" t="n"/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8" t="n"/>
      <c r="K276" s="18" t="n"/>
      <c r="L276" s="18" t="n"/>
      <c r="M276" s="18" t="n"/>
      <c r="N276" s="18" t="n"/>
      <c r="O276" s="17" t="n"/>
      <c r="P276" s="18" t="n"/>
    </row>
    <row r="277">
      <c r="A277" s="17" t="n"/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7" t="n"/>
      <c r="P277" s="18" t="n"/>
    </row>
    <row r="278">
      <c r="A278" s="17" t="n"/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7" t="n"/>
      <c r="P278" s="18" t="n"/>
    </row>
    <row r="279">
      <c r="A279" s="17" t="n"/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7" t="n"/>
      <c r="P279" s="18" t="n"/>
    </row>
    <row r="280">
      <c r="A280" s="17" t="n"/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7" t="n"/>
      <c r="P280" s="18" t="n"/>
    </row>
    <row r="281">
      <c r="A281" s="17" t="n"/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7" t="n"/>
      <c r="P281" s="18" t="n"/>
    </row>
    <row r="282">
      <c r="A282" s="17" t="n"/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7" t="n"/>
      <c r="P282" s="18" t="n"/>
    </row>
    <row r="283">
      <c r="A283" s="17" t="n"/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8" t="n"/>
      <c r="L283" s="18" t="n"/>
      <c r="M283" s="18" t="n"/>
      <c r="N283" s="18" t="n"/>
      <c r="O283" s="17" t="n"/>
      <c r="P283" s="18" t="n"/>
    </row>
    <row r="284">
      <c r="A284" s="17" t="n"/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7" t="n"/>
      <c r="P284" s="18" t="n"/>
    </row>
    <row r="285">
      <c r="A285" s="17" t="n"/>
      <c r="B285" s="18" t="n"/>
      <c r="C285" s="18" t="n"/>
      <c r="D285" s="18" t="n"/>
      <c r="E285" s="18" t="n"/>
      <c r="F285" s="18" t="n"/>
      <c r="G285" s="18" t="n"/>
      <c r="H285" s="18" t="n"/>
      <c r="I285" s="18" t="n"/>
      <c r="J285" s="18" t="n"/>
      <c r="K285" s="18" t="n"/>
      <c r="L285" s="18" t="n"/>
      <c r="M285" s="18" t="n"/>
      <c r="N285" s="18" t="n"/>
      <c r="O285" s="17" t="n"/>
      <c r="P285" s="18" t="n"/>
    </row>
    <row r="286">
      <c r="A286" s="17" t="n"/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7" t="n"/>
      <c r="P286" s="18" t="n"/>
    </row>
    <row r="287">
      <c r="A287" s="17" t="n"/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7" t="n"/>
      <c r="P287" s="18" t="n"/>
    </row>
    <row r="288">
      <c r="A288" s="17" t="n"/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7" t="n"/>
      <c r="P288" s="18" t="n"/>
    </row>
    <row r="289">
      <c r="A289" s="17" t="n"/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7" t="n"/>
      <c r="P289" s="18" t="n"/>
    </row>
    <row r="290">
      <c r="A290" s="17" t="n"/>
      <c r="B290" s="18" t="n"/>
      <c r="C290" s="18" t="n"/>
      <c r="D290" s="18" t="n"/>
      <c r="E290" s="18" t="n"/>
      <c r="F290" s="18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7" t="n"/>
      <c r="P290" s="18" t="n"/>
    </row>
    <row r="291">
      <c r="A291" s="17" t="n"/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7" t="n"/>
      <c r="P291" s="18" t="n"/>
    </row>
    <row r="292">
      <c r="A292" s="17" t="n"/>
      <c r="B292" s="18" t="n"/>
      <c r="C292" s="18" t="n"/>
      <c r="D292" s="18" t="n"/>
      <c r="E292" s="18" t="n"/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7" t="n"/>
      <c r="P292" s="18" t="n"/>
    </row>
    <row r="293">
      <c r="A293" s="17" t="n"/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7" t="n"/>
      <c r="P293" s="18" t="n"/>
    </row>
    <row r="294">
      <c r="A294" s="17" t="n"/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7" t="n"/>
      <c r="P294" s="18" t="n"/>
    </row>
    <row r="295">
      <c r="A295" s="17" t="n"/>
      <c r="B295" s="18" t="n"/>
      <c r="C295" s="18" t="n"/>
      <c r="D295" s="18" t="n"/>
      <c r="E295" s="18" t="n"/>
      <c r="F295" s="18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7" t="n"/>
      <c r="P295" s="18" t="n"/>
    </row>
    <row r="296">
      <c r="A296" s="17" t="n"/>
      <c r="B296" s="18" t="n"/>
      <c r="C296" s="18" t="n"/>
      <c r="D296" s="18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7" t="n"/>
      <c r="P296" s="18" t="n"/>
    </row>
    <row r="297">
      <c r="A297" s="17" t="n"/>
      <c r="B297" s="18" t="n"/>
      <c r="C297" s="18" t="n"/>
      <c r="D297" s="18" t="n"/>
      <c r="E297" s="18" t="n"/>
      <c r="F297" s="18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7" t="n"/>
      <c r="P297" s="18" t="n"/>
    </row>
    <row r="298">
      <c r="A298" s="17" t="n"/>
      <c r="B298" s="18" t="n"/>
      <c r="C298" s="18" t="n"/>
      <c r="D298" s="18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7" t="n"/>
      <c r="P298" s="18" t="n"/>
    </row>
    <row r="299">
      <c r="A299" s="17" t="n"/>
      <c r="B299" s="18" t="n"/>
      <c r="C299" s="18" t="n"/>
      <c r="D299" s="18" t="n"/>
      <c r="E299" s="18" t="n"/>
      <c r="F299" s="18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7" t="n"/>
      <c r="P299" s="18" t="n"/>
    </row>
    <row r="300">
      <c r="A300" s="17" t="n"/>
      <c r="B300" s="18" t="n"/>
      <c r="C300" s="18" t="n"/>
      <c r="D300" s="18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7" t="n"/>
      <c r="P300" s="18" t="n"/>
    </row>
    <row r="301">
      <c r="A301" s="17" t="n"/>
      <c r="B301" s="18" t="n"/>
      <c r="C301" s="18" t="n"/>
      <c r="D301" s="18" t="n"/>
      <c r="E301" s="18" t="n"/>
      <c r="F301" s="18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7" t="n"/>
      <c r="P301" s="18" t="n"/>
    </row>
  </sheetData>
  <dataValidations count="9">
    <dataValidation sqref="B2:B301" showDropDown="0" showInputMessage="0" showErrorMessage="0" allowBlank="1" type="list">
      <formula1>"Publication 1,Publication 2,Publication 3,Publication 4,Message direct,Page LinkedIn,Recommandation,Autre"</formula1>
    </dataValidation>
    <dataValidation sqref="F2:F301" showDropDown="0" showInputMessage="0" showErrorMessage="0" allowBlank="1" type="list">
      <formula1>"Électricité / éclairage,Autres travaux (BTP),Fournitures,Services,Conseil / accompagnement,Acheteur public,Autre"</formula1>
    </dataValidation>
    <dataValidation sqref="G2:G301" showDropDown="0" showInputMessage="0" showErrorMessage="0" allowBlank="1" type="list">
      <formula1>"1-9,10-49,50-249,250 et plus,Non précisé"</formula1>
    </dataValidation>
    <dataValidation sqref="I2:I301" showDropDown="0" showInputMessage="0" showErrorMessage="0" allowBlank="1" type="list">
      <formula1>"Repérer les marchés,Comprendre les consultations,Préparer les dossiers,Suivre les candidatures,Suivre le projet"</formula1>
    </dataValidation>
    <dataValidation sqref="J2:J301" showDropDown="0" showInputMessage="0" showErrorMessage="0" allowBlank="1" type="list">
      <formula1>"Curieux,Concerné,Échange souhaité,Pilote possible"</formula1>
    </dataValidation>
    <dataValidation sqref="K2:K301" showDropDown="0" showInputMessage="0" showErrorMessage="0" allowBlank="1" type="list">
      <formula1>"Oui,Non"</formula1>
    </dataValidation>
    <dataValidation sqref="L2:L301" showDropDown="0" showInputMessage="0" showErrorMessage="0" allowBlank="1" type="list">
      <formula1>"Oui,Non"</formula1>
    </dataValidation>
    <dataValidation sqref="M2:M301" showDropDown="0" showInputMessage="0" showErrorMessage="0" allowBlank="1" type="list">
      <formula1>"Oui,Non"</formula1>
    </dataValidation>
    <dataValidation sqref="N2:N301" showDropDown="0" showInputMessage="0" showErrorMessage="0" allowBlank="1" type="list">
      <formula1>"À contacter,Contacté,RDV pris,RDV réalisé,Pilote accepté,Sans suite"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20" customWidth="1" min="3" max="3"/>
    <col width="20" customWidth="1" min="4" max="4"/>
    <col width="14" customWidth="1" min="5" max="5"/>
    <col width="22" customWidth="1" min="6" max="6"/>
    <col width="16" customWidth="1" min="7" max="7"/>
    <col width="26" customWidth="1" min="8" max="8"/>
    <col width="34" customWidth="1" min="9" max="9"/>
    <col width="12" customWidth="1" min="10" max="10"/>
    <col width="14" customWidth="1" min="11" max="11"/>
    <col width="30" customWidth="1" min="12" max="12"/>
    <col width="40" customWidth="1" min="13" max="13"/>
    <col width="22" customWidth="1" min="14" max="14"/>
  </cols>
  <sheetData>
    <row r="1" ht="45" customHeight="1">
      <c r="A1" s="4" t="inlineStr">
        <is>
          <t>Date</t>
        </is>
      </c>
      <c r="B1" s="4" t="inlineStr">
        <is>
          <t>Entreprise (ou code anonyme)</t>
        </is>
      </c>
      <c r="C1" s="4" t="inlineStr">
        <is>
          <t>Fonction de l'interlocuteur</t>
        </is>
      </c>
      <c r="D1" s="4" t="inlineStr">
        <is>
          <t>Secteur</t>
        </is>
      </c>
      <c r="E1" s="4" t="inlineStr">
        <is>
          <t>Nombre d'appels d'offres par an (estimation)</t>
        </is>
      </c>
      <c r="F1" s="4" t="inlineStr">
        <is>
          <t>Qui s'en occupe aujourd'hui</t>
        </is>
      </c>
      <c r="G1" s="4" t="inlineStr">
        <is>
          <t>Temps passé par dossier (estimation)</t>
        </is>
      </c>
      <c r="H1" s="4" t="inlineStr">
        <is>
          <t>Outils ou aides déjà utilisés</t>
        </is>
      </c>
      <c r="I1" s="4" t="inlineStr">
        <is>
          <t>Difficulté principale</t>
        </is>
      </c>
      <c r="J1" s="4" t="inlineStr">
        <is>
          <t>Intensité du problème (1 à 5)</t>
        </is>
      </c>
      <c r="K1" s="4" t="inlineStr">
        <is>
          <t>Intérêt pour un pilote</t>
        </is>
      </c>
      <c r="L1" s="4" t="inlineStr">
        <is>
          <t>Conditions ou freins évoqués</t>
        </is>
      </c>
      <c r="M1" s="4" t="inlineStr">
        <is>
          <t>Verbatim anonymisé</t>
        </is>
      </c>
      <c r="N1" s="4" t="inlineStr">
        <is>
          <t>Prochaine étape</t>
        </is>
      </c>
    </row>
    <row r="2">
      <c r="A2" s="19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</row>
    <row r="3">
      <c r="A3" s="19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>
      <c r="A4" s="19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</row>
    <row r="5">
      <c r="A5" s="19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>
      <c r="A6" s="19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>
      <c r="A7" s="19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s="19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</row>
    <row r="9">
      <c r="A9" s="19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>
      <c r="A10" s="19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>
      <c r="A11" s="19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>
      <c r="A12" s="19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>
      <c r="A13" s="19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>
      <c r="A14" s="19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>
      <c r="A15" s="19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>
      <c r="A16" s="19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</row>
    <row r="17">
      <c r="A17" s="19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>
      <c r="A18" s="19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</row>
    <row r="19">
      <c r="A19" s="19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>
      <c r="A20" s="19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</row>
    <row r="21">
      <c r="A21" s="19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>
      <c r="A22" s="19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</row>
    <row r="23">
      <c r="A23" s="19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>
      <c r="A24" s="19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</row>
    <row r="25">
      <c r="A25" s="19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>
      <c r="A26" s="19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</row>
    <row r="27">
      <c r="A27" s="19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>
      <c r="A28" s="19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</row>
    <row r="29">
      <c r="A29" s="19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>
      <c r="A30" s="19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</row>
    <row r="31">
      <c r="A31" s="19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>
      <c r="A32" s="19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</row>
    <row r="33">
      <c r="A33" s="19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>
      <c r="A34" s="19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</row>
    <row r="35">
      <c r="A35" s="19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>
      <c r="A36" s="19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</row>
    <row r="37">
      <c r="A37" s="19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>
      <c r="A38" s="19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</row>
    <row r="39">
      <c r="A39" s="19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>
      <c r="A40" s="19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</row>
    <row r="41">
      <c r="A41" s="19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  <row r="42">
      <c r="A42" s="19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</row>
    <row r="43">
      <c r="A43" s="19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>
      <c r="A44" s="19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</row>
    <row r="45">
      <c r="A45" s="19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>
      <c r="A46" s="19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</row>
    <row r="47">
      <c r="A47" s="19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>
      <c r="A48" s="19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</row>
    <row r="49">
      <c r="A49" s="19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>
      <c r="A50" s="19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</row>
    <row r="51">
      <c r="A51" s="19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>
      <c r="A52" s="19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</row>
    <row r="53">
      <c r="A53" s="19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>
      <c r="A54" s="19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</row>
    <row r="55">
      <c r="A55" s="19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>
      <c r="A56" s="19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</row>
    <row r="57">
      <c r="A57" s="19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>
      <c r="A58" s="19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</row>
    <row r="59">
      <c r="A59" s="19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>
      <c r="A60" s="19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</row>
  </sheetData>
  <dataValidations count="2">
    <dataValidation sqref="J2:J60" showDropDown="0" showInputMessage="0" showErrorMessage="0" allowBlank="1" type="whole" operator="between">
      <formula1>1</formula1>
      <formula2>5</formula2>
    </dataValidation>
    <dataValidation sqref="K2:K60" showDropDown="0" showInputMessage="0" showErrorMessage="0" allowBlank="1" type="list">
      <formula1>"Oui,Peut-être,Non"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60" customWidth="1" min="3" max="3"/>
  </cols>
  <sheetData>
    <row r="1">
      <c r="A1" s="20" t="inlineStr">
        <is>
          <t>Synthèse automatique (ne rien saisir ici)</t>
        </is>
      </c>
    </row>
    <row r="3">
      <c r="A3" s="21" t="inlineStr">
        <is>
          <t>Visibilité</t>
        </is>
      </c>
    </row>
    <row r="4">
      <c r="A4" s="22" t="inlineStr">
        <is>
          <t>Impressions (toutes publications)</t>
        </is>
      </c>
      <c r="B4" s="23">
        <f>Publications!D7</f>
        <v/>
      </c>
      <c r="C4" s="24" t="inlineStr">
        <is>
          <t>Visibilité uniquement : ne mesure pas l'intérêt</t>
        </is>
      </c>
    </row>
    <row r="5">
      <c r="A5" s="22" t="inlineStr">
        <is>
          <t>Clics vers le formulaire</t>
        </is>
      </c>
      <c r="B5" s="23">
        <f>Publications!F7</f>
        <v/>
      </c>
      <c r="C5" s="24" t="inlineStr"/>
    </row>
    <row r="6">
      <c r="A6" s="21" t="inlineStr">
        <is>
          <t>Inscriptions</t>
        </is>
      </c>
    </row>
    <row r="7">
      <c r="A7" s="22" t="inlineStr">
        <is>
          <t>Inscriptions reçues</t>
        </is>
      </c>
      <c r="B7" s="23">
        <f>COUNTA(Inscriptions!$C$2:$C$301)</f>
        <v/>
      </c>
      <c r="C7" s="24" t="inlineStr">
        <is>
          <t>Une ligne par personne dans l'onglet Inscriptions</t>
        </is>
      </c>
    </row>
    <row r="8">
      <c r="A8" s="22" t="inlineStr">
        <is>
          <t>dont Curieux</t>
        </is>
      </c>
      <c r="B8" s="23">
        <f>COUNTIF(Inscriptions!$J$2:$J$301,"Curieux")</f>
        <v/>
      </c>
      <c r="C8" s="24" t="inlineStr"/>
    </row>
    <row r="9">
      <c r="A9" s="22" t="inlineStr">
        <is>
          <t>dont Concerné</t>
        </is>
      </c>
      <c r="B9" s="23">
        <f>COUNTIF(Inscriptions!$J$2:$J$301,"Concerné")</f>
        <v/>
      </c>
      <c r="C9" s="24" t="inlineStr"/>
    </row>
    <row r="10">
      <c r="A10" s="22" t="inlineStr">
        <is>
          <t>dont Échange souhaité</t>
        </is>
      </c>
      <c r="B10" s="23">
        <f>COUNTIF(Inscriptions!$J$2:$J$301,"Échange souhaité")</f>
        <v/>
      </c>
      <c r="C10" s="24" t="inlineStr"/>
    </row>
    <row r="11">
      <c r="A11" s="22" t="inlineStr">
        <is>
          <t>dont Pilote possible</t>
        </is>
      </c>
      <c r="B11" s="23">
        <f>COUNTIF(Inscriptions!$J$2:$J$301,"Pilote possible")</f>
        <v/>
      </c>
      <c r="C11" s="24" t="inlineStr"/>
    </row>
    <row r="12">
      <c r="A12" s="22" t="inlineStr">
        <is>
          <t>Inscriptions pertinentes pour la cible</t>
        </is>
      </c>
      <c r="B12" s="23">
        <f>COUNTIF(Inscriptions!$K$2:$K$301,"Oui")</f>
        <v/>
      </c>
      <c r="C12" s="24" t="inlineStr"/>
    </row>
    <row r="13">
      <c r="A13" s="22" t="inlineStr">
        <is>
          <t>Secteur électricité / éclairage</t>
        </is>
      </c>
      <c r="B13" s="23">
        <f>COUNTIF(Inscriptions!$F$2:$F$301,"Électricité / éclairage")</f>
        <v/>
      </c>
      <c r="C13" s="24" t="inlineStr">
        <is>
          <t>Cible prioritaire</t>
        </is>
      </c>
    </row>
    <row r="14">
      <c r="A14" s="22" t="inlineStr">
        <is>
          <t>Accords pour être recontacté</t>
        </is>
      </c>
      <c r="B14" s="23">
        <f>COUNTIF(Inscriptions!$M$2:$M$301,"Oui")</f>
        <v/>
      </c>
      <c r="C14" s="24" t="inlineStr">
        <is>
          <t>Seules ces personnes peuvent être relancées</t>
        </is>
      </c>
    </row>
    <row r="15">
      <c r="A15" s="21" t="inlineStr">
        <is>
          <t>Intérêt commercial réel</t>
        </is>
      </c>
    </row>
    <row r="16">
      <c r="A16" s="22" t="inlineStr">
        <is>
          <t>Rendez-vous pris</t>
        </is>
      </c>
      <c r="B16" s="23">
        <f>COUNTIF(Inscriptions!$N$2:$N$301,"RDV pris")+COUNTIF(Inscriptions!$N$2:$N$301,"RDV réalisé")+COUNTIF(Inscriptions!$N$2:$N$301,"Pilote accepté")</f>
        <v/>
      </c>
      <c r="C16" s="24" t="inlineStr">
        <is>
          <t>Statuts RDV pris, RDV réalisé ou Pilote accepté</t>
        </is>
      </c>
    </row>
    <row r="17">
      <c r="A17" s="22" t="inlineStr">
        <is>
          <t>Échanges réalisés (onglet Échanges)</t>
        </is>
      </c>
      <c r="B17" s="23">
        <f>COUNTA(Échanges!$B$2:$B$60)</f>
        <v/>
      </c>
      <c r="C17" s="24" t="inlineStr"/>
    </row>
    <row r="18">
      <c r="A18" s="22" t="inlineStr">
        <is>
          <t>Intensité moyenne du problème (1 à 5)</t>
        </is>
      </c>
      <c r="B18" s="25">
        <f>IFERROR(AVERAGE(Échanges!$J$2:$J$60),0)</f>
        <v/>
      </c>
      <c r="C18" s="24" t="inlineStr">
        <is>
          <t>Moyenne des échanges réalisés</t>
        </is>
      </c>
    </row>
    <row r="19">
      <c r="A19" s="22" t="inlineStr">
        <is>
          <t>Échanges avec intérêt pilote « Oui »</t>
        </is>
      </c>
      <c r="B19" s="23">
        <f>COUNTIF(Échanges!$K$2:$K$60,"Oui")</f>
        <v/>
      </c>
      <c r="C19" s="24" t="inlineStr"/>
    </row>
    <row r="20">
      <c r="A20" s="22" t="inlineStr">
        <is>
          <t>Pilotes acceptés</t>
        </is>
      </c>
      <c r="B20" s="23">
        <f>COUNTIF(Inscriptions!$N$2:$N$301,"Pilote accepté")</f>
        <v/>
      </c>
      <c r="C20" s="24" t="inlineStr">
        <is>
          <t>Signal le plus fort de la campagne</t>
        </is>
      </c>
    </row>
    <row r="22">
      <c r="A22" s="26" t="inlineStr">
        <is>
          <t>Rappel : une inscription n'est pas une preuve d'achat. Décider sur les échanges réalisés et les pilotes acceptés.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2026-09-28T08:07:27Z</dcterms:created>
  <dcterms:modified xsi:type="dcterms:W3CDTF">2026-09-28T08:07:27Z</dcterms:modified>
</cp:coreProperties>
</file>